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iki\nauka\ZTBD\dbms-compare-workspace\compare_app\data\"/>
    </mc:Choice>
  </mc:AlternateContent>
  <xr:revisionPtr revIDLastSave="0" documentId="8_{3DB3DDBD-2575-4793-9137-8B8113EB9DB7}" xr6:coauthVersionLast="47" xr6:coauthVersionMax="47" xr10:uidLastSave="{00000000-0000-0000-0000-000000000000}"/>
  <bookViews>
    <workbookView xWindow="-120" yWindow="-120" windowWidth="38640" windowHeight="21120" activeTab="2" xr2:uid="{9F6C1933-680A-41F3-99EC-A07E2B141F33}"/>
  </bookViews>
  <sheets>
    <sheet name="main data source" sheetId="2" r:id="rId1"/>
    <sheet name="pivot table" sheetId="5" r:id="rId2"/>
    <sheet name="postgres-compare-by-operation" sheetId="6" r:id="rId3"/>
  </sheets>
  <definedNames>
    <definedName name="_xlcn.WorksheetConnection_results_initial_for_excelAD1" hidden="1">'main data source'!$A:$D</definedName>
    <definedName name="_xlcn.WorksheetConnection_Zeszyt1results_initial_for_excel1" hidden="1">results_initial_for_excel[]</definedName>
    <definedName name="ExternalData_1" localSheetId="0" hidden="1">'main data source'!$A$1:$D$97</definedName>
  </definedName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akres" name="Zakres" connection="WorksheetConnection_results_initial_for_excel!$A:$D"/>
          <x15:modelTable id="results_initial_for_excel" name="results_initial_for_excel" connection="WorksheetConnection_Zeszyt1!results_initial_for_exc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DFD59-F4D8-44C7-AE73-F5F1149A89A9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4AD04AC-B3D6-4EE6-9D26-24D2D092C0BF}" name="WorksheetConnection_results_initial_for_excel!$A:$D" type="102" refreshedVersion="8" minRefreshableVersion="5">
    <extLst>
      <ext xmlns:x15="http://schemas.microsoft.com/office/spreadsheetml/2010/11/main" uri="{DE250136-89BD-433C-8126-D09CA5730AF9}">
        <x15:connection id="Zakres" autoDelete="1">
          <x15:rangePr sourceName="_xlcn.WorksheetConnection_results_initial_for_excelAD1"/>
        </x15:connection>
      </ext>
    </extLst>
  </connection>
  <connection id="3" xr16:uid="{A2C5C2AF-2AE2-437A-8791-BC47F987DA46}" name="WorksheetConnection_Zeszyt1!results_initial_for_excel" type="102" refreshedVersion="8" minRefreshableVersion="5">
    <extLst>
      <ext xmlns:x15="http://schemas.microsoft.com/office/spreadsheetml/2010/11/main" uri="{DE250136-89BD-433C-8126-D09CA5730AF9}">
        <x15:connection id="results_initial_for_excel">
          <x15:rangePr sourceName="_xlcn.WorksheetConnection_Zeszyt1results_initial_for_excel1"/>
        </x15:connection>
      </ext>
    </extLst>
  </connection>
  <connection id="4" xr16:uid="{00DBEC4F-D097-49CF-B180-BA8358EFE413}" keepAlive="1" name="Zapytanie — results_initial_for_excel" description="Połączenie z zapytaniem „results_initial_for_excel” w skoroszycie." type="5" refreshedVersion="8" background="1" saveData="1">
    <dbPr connection="Provider=Microsoft.Mashup.OleDb.1;Data Source=$Workbook$;Location=results_initial_for_excel;Extended Properties=&quot;&quot;" command="SELECT * FROM [results_initial_for_excel]"/>
  </connection>
</connections>
</file>

<file path=xl/sharedStrings.xml><?xml version="1.0" encoding="utf-8"?>
<sst xmlns="http://schemas.openxmlformats.org/spreadsheetml/2006/main" count="314" uniqueCount="48">
  <si>
    <t>test</t>
  </si>
  <si>
    <t>dbms</t>
  </si>
  <si>
    <t>size</t>
  </si>
  <si>
    <t>duration</t>
  </si>
  <si>
    <t>c1_insert_user</t>
  </si>
  <si>
    <t>PostgreSQL_11</t>
  </si>
  <si>
    <t>1m</t>
  </si>
  <si>
    <t>PostgreSQL_LTS</t>
  </si>
  <si>
    <t>500k</t>
  </si>
  <si>
    <t>c2_insert_manufacturer_model</t>
  </si>
  <si>
    <t>c3_insert_product_with_specification</t>
  </si>
  <si>
    <t>c4_insert_product_variant</t>
  </si>
  <si>
    <t>c5_create_order_with_one_item</t>
  </si>
  <si>
    <t>c6_bulk_add_order_items</t>
  </si>
  <si>
    <t>d1_delete_order_with_items</t>
  </si>
  <si>
    <t>d2_delete_product_variant</t>
  </si>
  <si>
    <t>d3_delete_order_item</t>
  </si>
  <si>
    <t>d4_delete_user_without_orders</t>
  </si>
  <si>
    <t>d5_withdraw_model_from_offer</t>
  </si>
  <si>
    <t>d6_cleanup_stale_zero_stock_variants</t>
  </si>
  <si>
    <t>r1_read_user_by_email</t>
  </si>
  <si>
    <t>r2_list_products_by_type</t>
  </si>
  <si>
    <t>r3_search_products_by_manufacturer</t>
  </si>
  <si>
    <t>r4_product_details_card</t>
  </si>
  <si>
    <t>r5_user_order_history</t>
  </si>
  <si>
    <t>r6_stale_inventory_report</t>
  </si>
  <si>
    <t>u1_update_user_contact</t>
  </si>
  <si>
    <t>u2_update_variant_price</t>
  </si>
  <si>
    <t>u3_reduce_variant_stock_after_sale</t>
  </si>
  <si>
    <t>u4_update_order_status</t>
  </si>
  <si>
    <t>u5_update_product_description</t>
  </si>
  <si>
    <t>u6_update_shipping_address</t>
  </si>
  <si>
    <t>Etykiety kolumn</t>
  </si>
  <si>
    <t>(puste)</t>
  </si>
  <si>
    <t>Suma końcowa</t>
  </si>
  <si>
    <t>Etykiety wierszy</t>
  </si>
  <si>
    <t>Średnia z duration</t>
  </si>
  <si>
    <t>Type</t>
  </si>
  <si>
    <t>c</t>
  </si>
  <si>
    <t>d</t>
  </si>
  <si>
    <t>r</t>
  </si>
  <si>
    <t>u</t>
  </si>
  <si>
    <t>Wykres wydajność bazy w oparciu o operacje</t>
  </si>
  <si>
    <t>Rodzaj operacji</t>
  </si>
  <si>
    <t>Create</t>
  </si>
  <si>
    <t>Delete</t>
  </si>
  <si>
    <t>Read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</si>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</sst>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NumberFormat="1" applyBorder="1"/>
    <xf numFmtId="0" fontId="0" fillId="0" borderId="7" xfId="0" applyNumberFormat="1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4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 applyAlignment="1">
      <alignment horizontal="center"/>
    </xf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czas operacji danego typu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'postgres-compare-by-operation'!$C$2</c:f>
              <c:strCache>
                <c:ptCount val="1"/>
                <c:pt idx="0">
                  <c:v>PostgreSQL_11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'postgres-compare-by-operation'!$B$3:$B$6</c:f>
              <c:strCache>
                <c:ptCount val="4"/>
                <c:pt idx="0">
                  <c:v>Create</c:v>
                </c:pt>
                <c:pt idx="1">
                  <c:v>Delete</c:v>
                </c:pt>
                <c:pt idx="2">
                  <c:v>Read</c:v>
                </c:pt>
                <c:pt idx="3">
                  <c:v>Update</c:v>
                </c:pt>
              </c:strCache>
            </c:strRef>
          </c:cat>
          <c:val>
            <c:numRef>
              <c:f>'postgres-compare-by-operation'!$C$3:$C$6</c:f>
              <c:numCache>
                <c:formatCode>General</c:formatCode>
                <c:ptCount val="4"/>
                <c:pt idx="0">
                  <c:v>1.2461138888888887</c:v>
                </c:pt>
                <c:pt idx="1">
                  <c:v>40.71050833333333</c:v>
                </c:pt>
                <c:pt idx="2">
                  <c:v>57.259430555555554</c:v>
                </c:pt>
                <c:pt idx="3">
                  <c:v>4.5116444444444452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6-46FB-AF43-F8B54813FC10}"/>
            </c:ext>
          </c:extLst>
        </c:ser>
        <c:ser>
          <c:idx val="1"/>
          <c:order val="1"/>
          <c:tx>
            <c:strRef>
              <c:f>'postgres-compare-by-operation'!$D$2</c:f>
              <c:strCache>
                <c:ptCount val="1"/>
                <c:pt idx="0">
                  <c:v>PostgreSQL_LTS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'postgres-compare-by-operation'!$B$3:$B$6</c:f>
              <c:strCache>
                <c:ptCount val="4"/>
                <c:pt idx="0">
                  <c:v>Create</c:v>
                </c:pt>
                <c:pt idx="1">
                  <c:v>Delete</c:v>
                </c:pt>
                <c:pt idx="2">
                  <c:v>Read</c:v>
                </c:pt>
                <c:pt idx="3">
                  <c:v>Update</c:v>
                </c:pt>
              </c:strCache>
            </c:strRef>
          </c:cat>
          <c:val>
            <c:numRef>
              <c:f>'postgres-compare-by-operation'!$D$3:$D$6</c:f>
              <c:numCache>
                <c:formatCode>General</c:formatCode>
                <c:ptCount val="4"/>
                <c:pt idx="0">
                  <c:v>1.2086111111111111</c:v>
                </c:pt>
                <c:pt idx="1">
                  <c:v>20.230155555555555</c:v>
                </c:pt>
                <c:pt idx="2">
                  <c:v>57.761291666666672</c:v>
                </c:pt>
                <c:pt idx="3">
                  <c:v>4.5767583333333341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6-46FB-AF43-F8B54813FC1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168256"/>
        <c:axId val="2141164296"/>
      </c:barChart>
      <c:catAx>
        <c:axId val="214116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1164296"/>
        <c:crosses val="autoZero"/>
        <c:auto val="1"/>
        <c:lblAlgn val="ctr"/>
        <c:lblOffset val="100"/>
        <c:noMultiLvlLbl val="0"/>
      </c:catAx>
      <c:valAx>
        <c:axId val="214116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1168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1</xdr:row>
      <xdr:rowOff>23812</xdr:rowOff>
    </xdr:from>
    <xdr:to>
      <xdr:col>17</xdr:col>
      <xdr:colOff>190499</xdr:colOff>
      <xdr:row>27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21AC3BF-3523-201F-6A7B-2CC3BDC51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usz" refreshedDate="46111.545523148146" createdVersion="8" refreshedVersion="8" minRefreshableVersion="3" recordCount="97" xr:uid="{93BF0883-3732-482E-9120-BCC03DA3FA08}">
  <cacheSource type="worksheet">
    <worksheetSource ref="A1:E1048576" sheet="main data source"/>
  </cacheSource>
  <cacheFields count="5">
    <cacheField name="test" numFmtId="0">
      <sharedItems containsBlank="1"/>
    </cacheField>
    <cacheField name="dbms" numFmtId="0">
      <sharedItems containsBlank="1" count="3">
        <s v="PostgreSQL_11"/>
        <s v="PostgreSQL_LTS"/>
        <m/>
      </sharedItems>
    </cacheField>
    <cacheField name="size" numFmtId="0">
      <sharedItems containsBlank="1" count="3">
        <s v="1m"/>
        <s v="500k"/>
        <m/>
      </sharedItems>
    </cacheField>
    <cacheField name="duration" numFmtId="0">
      <sharedItems containsString="0" containsBlank="1" containsNumber="1" minValue="0.41786666666666666" maxValue="355.65706666666665"/>
    </cacheField>
    <cacheField name="Type" numFmtId="0">
      <sharedItems containsBlank="1" count="5">
        <s v="c"/>
        <s v="d"/>
        <s v="r"/>
        <s v="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1_insert_user"/>
    <x v="0"/>
    <x v="0"/>
    <n v="0.41786666666666666"/>
    <x v="0"/>
  </r>
  <r>
    <s v="c1_insert_user"/>
    <x v="1"/>
    <x v="0"/>
    <n v="0.48053333333333331"/>
    <x v="0"/>
  </r>
  <r>
    <s v="c1_insert_user"/>
    <x v="0"/>
    <x v="1"/>
    <n v="0.48573333333333335"/>
    <x v="0"/>
  </r>
  <r>
    <s v="c1_insert_user"/>
    <x v="1"/>
    <x v="1"/>
    <n v="0.42363333333333331"/>
    <x v="0"/>
  </r>
  <r>
    <s v="c2_insert_manufacturer_model"/>
    <x v="0"/>
    <x v="0"/>
    <n v="1.5981666666666667"/>
    <x v="0"/>
  </r>
  <r>
    <s v="c2_insert_manufacturer_model"/>
    <x v="1"/>
    <x v="0"/>
    <n v="1.4883666666666666"/>
    <x v="0"/>
  </r>
  <r>
    <s v="c2_insert_manufacturer_model"/>
    <x v="0"/>
    <x v="1"/>
    <n v="1.1660000000000001"/>
    <x v="0"/>
  </r>
  <r>
    <s v="c2_insert_manufacturer_model"/>
    <x v="1"/>
    <x v="1"/>
    <n v="1.2242666666666666"/>
    <x v="0"/>
  </r>
  <r>
    <s v="c3_insert_product_with_specification"/>
    <x v="0"/>
    <x v="0"/>
    <n v="1.4073666666666667"/>
    <x v="0"/>
  </r>
  <r>
    <s v="c3_insert_product_with_specification"/>
    <x v="1"/>
    <x v="0"/>
    <n v="1.4239666666666666"/>
    <x v="0"/>
  </r>
  <r>
    <s v="c3_insert_product_with_specification"/>
    <x v="0"/>
    <x v="1"/>
    <n v="1.1547666666666665"/>
    <x v="0"/>
  </r>
  <r>
    <s v="c3_insert_product_with_specification"/>
    <x v="1"/>
    <x v="1"/>
    <n v="1.2363999999999999"/>
    <x v="0"/>
  </r>
  <r>
    <s v="c4_insert_product_variant"/>
    <x v="0"/>
    <x v="0"/>
    <n v="1.9303333333333335"/>
    <x v="0"/>
  </r>
  <r>
    <s v="c4_insert_product_variant"/>
    <x v="1"/>
    <x v="0"/>
    <n v="1.3546333333333334"/>
    <x v="0"/>
  </r>
  <r>
    <s v="c4_insert_product_variant"/>
    <x v="0"/>
    <x v="1"/>
    <n v="1.2198666666666667"/>
    <x v="0"/>
  </r>
  <r>
    <s v="c4_insert_product_variant"/>
    <x v="1"/>
    <x v="1"/>
    <n v="1.0324"/>
    <x v="0"/>
  </r>
  <r>
    <s v="c5_create_order_with_one_item"/>
    <x v="0"/>
    <x v="0"/>
    <n v="1.2431333333333334"/>
    <x v="0"/>
  </r>
  <r>
    <s v="c5_create_order_with_one_item"/>
    <x v="1"/>
    <x v="0"/>
    <n v="1.5415666666666665"/>
    <x v="0"/>
  </r>
  <r>
    <s v="c5_create_order_with_one_item"/>
    <x v="0"/>
    <x v="1"/>
    <n v="1.4188000000000001"/>
    <x v="0"/>
  </r>
  <r>
    <s v="c5_create_order_with_one_item"/>
    <x v="1"/>
    <x v="1"/>
    <n v="1.3036333333333332"/>
    <x v="0"/>
  </r>
  <r>
    <s v="c6_bulk_add_order_items"/>
    <x v="0"/>
    <x v="0"/>
    <n v="1.4562666666666668"/>
    <x v="0"/>
  </r>
  <r>
    <s v="c6_bulk_add_order_items"/>
    <x v="1"/>
    <x v="0"/>
    <n v="1.5687333333333333"/>
    <x v="0"/>
  </r>
  <r>
    <s v="c6_bulk_add_order_items"/>
    <x v="0"/>
    <x v="1"/>
    <n v="1.4550666666666665"/>
    <x v="0"/>
  </r>
  <r>
    <s v="c6_bulk_add_order_items"/>
    <x v="1"/>
    <x v="1"/>
    <n v="1.4252"/>
    <x v="0"/>
  </r>
  <r>
    <s v="d1_delete_order_with_items"/>
    <x v="0"/>
    <x v="0"/>
    <n v="7.1217666666666668"/>
    <x v="1"/>
  </r>
  <r>
    <s v="d1_delete_order_with_items"/>
    <x v="1"/>
    <x v="0"/>
    <n v="7.7948333333333331"/>
    <x v="1"/>
  </r>
  <r>
    <s v="d1_delete_order_with_items"/>
    <x v="0"/>
    <x v="1"/>
    <n v="4.1151333333333335"/>
    <x v="1"/>
  </r>
  <r>
    <s v="d1_delete_order_with_items"/>
    <x v="1"/>
    <x v="1"/>
    <n v="4.4475000000000007"/>
    <x v="1"/>
  </r>
  <r>
    <s v="d2_delete_product_variant"/>
    <x v="0"/>
    <x v="0"/>
    <n v="7.1107333333333331"/>
    <x v="1"/>
  </r>
  <r>
    <s v="d2_delete_product_variant"/>
    <x v="1"/>
    <x v="0"/>
    <n v="8.1739666666666668"/>
    <x v="1"/>
  </r>
  <r>
    <s v="d2_delete_product_variant"/>
    <x v="0"/>
    <x v="1"/>
    <n v="4.1395333333333335"/>
    <x v="1"/>
  </r>
  <r>
    <s v="d2_delete_product_variant"/>
    <x v="1"/>
    <x v="1"/>
    <n v="4.4614666666666665"/>
    <x v="1"/>
  </r>
  <r>
    <s v="d3_delete_order_item"/>
    <x v="0"/>
    <x v="0"/>
    <n v="0.96883333333333344"/>
    <x v="1"/>
  </r>
  <r>
    <s v="d3_delete_order_item"/>
    <x v="1"/>
    <x v="0"/>
    <n v="1.6767666666666667"/>
    <x v="1"/>
  </r>
  <r>
    <s v="d3_delete_order_item"/>
    <x v="0"/>
    <x v="1"/>
    <n v="1.0357000000000001"/>
    <x v="1"/>
  </r>
  <r>
    <s v="d3_delete_order_item"/>
    <x v="1"/>
    <x v="1"/>
    <n v="1.05"/>
    <x v="1"/>
  </r>
  <r>
    <s v="d4_delete_user_without_orders"/>
    <x v="0"/>
    <x v="0"/>
    <n v="14.578799999999999"/>
    <x v="1"/>
  </r>
  <r>
    <s v="d4_delete_user_without_orders"/>
    <x v="1"/>
    <x v="0"/>
    <n v="15.298766666666666"/>
    <x v="1"/>
  </r>
  <r>
    <s v="d4_delete_user_without_orders"/>
    <x v="0"/>
    <x v="1"/>
    <n v="7.8392000000000008"/>
    <x v="1"/>
  </r>
  <r>
    <s v="d4_delete_user_without_orders"/>
    <x v="1"/>
    <x v="1"/>
    <n v="8.1993333333333336"/>
    <x v="1"/>
  </r>
  <r>
    <s v="d5_withdraw_model_from_offer"/>
    <x v="0"/>
    <x v="0"/>
    <n v="81.349166666666676"/>
    <x v="1"/>
  </r>
  <r>
    <s v="d5_withdraw_model_from_offer"/>
    <x v="1"/>
    <x v="0"/>
    <n v="46.548533333333332"/>
    <x v="1"/>
  </r>
  <r>
    <s v="d5_withdraw_model_from_offer"/>
    <x v="0"/>
    <x v="1"/>
    <n v="48.411000000000001"/>
    <x v="1"/>
  </r>
  <r>
    <s v="d5_withdraw_model_from_offer"/>
    <x v="1"/>
    <x v="1"/>
    <n v="28.634866666666667"/>
    <x v="1"/>
  </r>
  <r>
    <s v="d6_cleanup_stale_zero_stock_variants"/>
    <x v="0"/>
    <x v="0"/>
    <n v="231.74646666666669"/>
    <x v="1"/>
  </r>
  <r>
    <s v="d6_cleanup_stale_zero_stock_variants"/>
    <x v="1"/>
    <x v="0"/>
    <n v="84.786333333333332"/>
    <x v="1"/>
  </r>
  <r>
    <s v="d6_cleanup_stale_zero_stock_variants"/>
    <x v="0"/>
    <x v="1"/>
    <n v="80.109766666666658"/>
    <x v="1"/>
  </r>
  <r>
    <s v="d6_cleanup_stale_zero_stock_variants"/>
    <x v="1"/>
    <x v="1"/>
    <n v="31.689499999999999"/>
    <x v="1"/>
  </r>
  <r>
    <s v="r1_read_user_by_email"/>
    <x v="0"/>
    <x v="0"/>
    <n v="0.45096666666666668"/>
    <x v="2"/>
  </r>
  <r>
    <s v="r1_read_user_by_email"/>
    <x v="1"/>
    <x v="0"/>
    <n v="0.44090000000000007"/>
    <x v="2"/>
  </r>
  <r>
    <s v="r1_read_user_by_email"/>
    <x v="0"/>
    <x v="1"/>
    <n v="0.47646666666666659"/>
    <x v="2"/>
  </r>
  <r>
    <s v="r1_read_user_by_email"/>
    <x v="1"/>
    <x v="1"/>
    <n v="0.58486666666666665"/>
    <x v="2"/>
  </r>
  <r>
    <s v="r2_list_products_by_type"/>
    <x v="0"/>
    <x v="0"/>
    <n v="92.277699999999996"/>
    <x v="2"/>
  </r>
  <r>
    <s v="r2_list_products_by_type"/>
    <x v="1"/>
    <x v="0"/>
    <n v="188.94143333333332"/>
    <x v="2"/>
  </r>
  <r>
    <s v="r2_list_products_by_type"/>
    <x v="0"/>
    <x v="1"/>
    <n v="43.185833333333335"/>
    <x v="2"/>
  </r>
  <r>
    <s v="r2_list_products_by_type"/>
    <x v="1"/>
    <x v="1"/>
    <n v="53.444466666666663"/>
    <x v="2"/>
  </r>
  <r>
    <s v="r3_search_products_by_manufacturer"/>
    <x v="0"/>
    <x v="0"/>
    <n v="6.2921333333333331"/>
    <x v="2"/>
  </r>
  <r>
    <s v="r3_search_products_by_manufacturer"/>
    <x v="1"/>
    <x v="0"/>
    <n v="13.3544"/>
    <x v="2"/>
  </r>
  <r>
    <s v="r3_search_products_by_manufacturer"/>
    <x v="0"/>
    <x v="1"/>
    <n v="1.6887000000000001"/>
    <x v="2"/>
  </r>
  <r>
    <s v="r3_search_products_by_manufacturer"/>
    <x v="1"/>
    <x v="1"/>
    <n v="2.5783666666666663"/>
    <x v="2"/>
  </r>
  <r>
    <s v="r4_product_details_card"/>
    <x v="0"/>
    <x v="0"/>
    <n v="8.974400000000001"/>
    <x v="2"/>
  </r>
  <r>
    <s v="r4_product_details_card"/>
    <x v="1"/>
    <x v="0"/>
    <n v="8.8669333333333338"/>
    <x v="2"/>
  </r>
  <r>
    <s v="r4_product_details_card"/>
    <x v="0"/>
    <x v="1"/>
    <n v="4.7507333333333337"/>
    <x v="2"/>
  </r>
  <r>
    <s v="r4_product_details_card"/>
    <x v="1"/>
    <x v="1"/>
    <n v="6.2978333333333341"/>
    <x v="2"/>
  </r>
  <r>
    <s v="r5_user_order_history"/>
    <x v="0"/>
    <x v="0"/>
    <n v="0.6643"/>
    <x v="2"/>
  </r>
  <r>
    <s v="r5_user_order_history"/>
    <x v="1"/>
    <x v="0"/>
    <n v="0.61496666666666666"/>
    <x v="2"/>
  </r>
  <r>
    <s v="r5_user_order_history"/>
    <x v="0"/>
    <x v="1"/>
    <n v="0.62270000000000003"/>
    <x v="2"/>
  </r>
  <r>
    <s v="r5_user_order_history"/>
    <x v="1"/>
    <x v="1"/>
    <n v="0.95420000000000005"/>
    <x v="2"/>
  </r>
  <r>
    <s v="r6_stale_inventory_report"/>
    <x v="0"/>
    <x v="0"/>
    <n v="355.65706666666665"/>
    <x v="2"/>
  </r>
  <r>
    <s v="r6_stale_inventory_report"/>
    <x v="1"/>
    <x v="0"/>
    <n v="264.95806666666664"/>
    <x v="2"/>
  </r>
  <r>
    <s v="r6_stale_inventory_report"/>
    <x v="0"/>
    <x v="1"/>
    <n v="172.07216666666667"/>
    <x v="2"/>
  </r>
  <r>
    <s v="r6_stale_inventory_report"/>
    <x v="1"/>
    <x v="1"/>
    <n v="152.09906666666669"/>
    <x v="2"/>
  </r>
  <r>
    <s v="u1_update_user_contact"/>
    <x v="0"/>
    <x v="0"/>
    <n v="1.1049666666666667"/>
    <x v="3"/>
  </r>
  <r>
    <s v="u1_update_user_contact"/>
    <x v="1"/>
    <x v="0"/>
    <n v="1.2464000000000002"/>
    <x v="3"/>
  </r>
  <r>
    <s v="u1_update_user_contact"/>
    <x v="0"/>
    <x v="1"/>
    <n v="1.008"/>
    <x v="3"/>
  </r>
  <r>
    <s v="u1_update_user_contact"/>
    <x v="1"/>
    <x v="1"/>
    <n v="1.0193333333333332"/>
    <x v="3"/>
  </r>
  <r>
    <s v="u2_update_variant_price"/>
    <x v="0"/>
    <x v="0"/>
    <n v="10.603833333333332"/>
    <x v="3"/>
  </r>
  <r>
    <s v="u2_update_variant_price"/>
    <x v="1"/>
    <x v="0"/>
    <n v="10.863500000000002"/>
    <x v="3"/>
  </r>
  <r>
    <s v="u2_update_variant_price"/>
    <x v="0"/>
    <x v="1"/>
    <n v="6.1010666666666671"/>
    <x v="3"/>
  </r>
  <r>
    <s v="u2_update_variant_price"/>
    <x v="1"/>
    <x v="1"/>
    <n v="6.5704333333333338"/>
    <x v="3"/>
  </r>
  <r>
    <s v="u3_reduce_variant_stock_after_sale"/>
    <x v="0"/>
    <x v="0"/>
    <n v="17.564433333333334"/>
    <x v="3"/>
  </r>
  <r>
    <s v="u3_reduce_variant_stock_after_sale"/>
    <x v="1"/>
    <x v="0"/>
    <n v="19.158966666666668"/>
    <x v="3"/>
  </r>
  <r>
    <s v="u3_reduce_variant_stock_after_sale"/>
    <x v="0"/>
    <x v="1"/>
    <n v="10.467766666666668"/>
    <x v="3"/>
  </r>
  <r>
    <s v="u3_reduce_variant_stock_after_sale"/>
    <x v="1"/>
    <x v="1"/>
    <n v="10.604699999999999"/>
    <x v="3"/>
  </r>
  <r>
    <s v="u4_update_order_status"/>
    <x v="0"/>
    <x v="0"/>
    <n v="2.5685666666666669"/>
    <x v="3"/>
  </r>
  <r>
    <s v="u4_update_order_status"/>
    <x v="1"/>
    <x v="0"/>
    <n v="1.2162666666666668"/>
    <x v="3"/>
  </r>
  <r>
    <s v="u4_update_order_status"/>
    <x v="0"/>
    <x v="1"/>
    <n v="1.1653666666666667"/>
    <x v="3"/>
  </r>
  <r>
    <s v="u4_update_order_status"/>
    <x v="1"/>
    <x v="1"/>
    <n v="1.0702"/>
    <x v="3"/>
  </r>
  <r>
    <s v="u5_update_product_description"/>
    <x v="0"/>
    <x v="0"/>
    <n v="1.2288333333333334"/>
    <x v="3"/>
  </r>
  <r>
    <s v="u5_update_product_description"/>
    <x v="1"/>
    <x v="0"/>
    <n v="1.2048666666666668"/>
    <x v="3"/>
  </r>
  <r>
    <s v="u5_update_product_description"/>
    <x v="0"/>
    <x v="1"/>
    <n v="1.2641666666666667"/>
    <x v="3"/>
  </r>
  <r>
    <s v="u5_update_product_description"/>
    <x v="1"/>
    <x v="1"/>
    <n v="1.0728333333333335"/>
    <x v="3"/>
  </r>
  <r>
    <s v="u6_update_shipping_address"/>
    <x v="0"/>
    <x v="0"/>
    <n v="0.46626666666666666"/>
    <x v="3"/>
  </r>
  <r>
    <s v="u6_update_shipping_address"/>
    <x v="1"/>
    <x v="0"/>
    <n v="0.45293333333333335"/>
    <x v="3"/>
  </r>
  <r>
    <s v="u6_update_shipping_address"/>
    <x v="0"/>
    <x v="1"/>
    <n v="0.59646666666666659"/>
    <x v="3"/>
  </r>
  <r>
    <s v="u6_update_shipping_address"/>
    <x v="1"/>
    <x v="1"/>
    <n v="0.44066666666666671"/>
    <x v="3"/>
  </r>
  <r>
    <m/>
    <x v="2"/>
    <x v="2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2D7F1-D9DC-41EE-A32D-024BB9279BC0}" name="Tabela przestawna3" cacheId="3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E10" firstHeaderRow="1" firstDataRow="2" firstDataCol="1"/>
  <pivotFields count="5"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Średnia z duration" fld="3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5A3A09C-A487-45DE-B245-8B798C22AAFD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est" tableColumnId="1"/>
      <queryTableField id="2" name="dbms" tableColumnId="2"/>
      <queryTableField id="3" name="size" tableColumnId="3"/>
      <queryTableField id="4" name="duration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A3B92-AF13-4E4E-80D3-6ADDAB78A694}" name="results_initial_for_excel" displayName="results_initial_for_excel" ref="A1:E97" tableType="queryTable" totalsRowShown="0">
  <autoFilter ref="A1:E97" xr:uid="{5B6A3B92-AF13-4E4E-80D3-6ADDAB78A694}"/>
  <tableColumns count="5">
    <tableColumn id="1" xr3:uid="{C271F088-10DB-4517-8883-AB726A087096}" uniqueName="1" name="test" queryTableFieldId="1" dataDxfId="3"/>
    <tableColumn id="2" xr3:uid="{7153FD9E-5DB5-4168-8504-231B251AABDF}" uniqueName="2" name="dbms" queryTableFieldId="2" dataDxfId="2"/>
    <tableColumn id="3" xr3:uid="{0489A5D2-CC66-4C2E-AFC8-1120962934C6}" uniqueName="3" name="size" queryTableFieldId="3" dataDxfId="1"/>
    <tableColumn id="4" xr3:uid="{848AABC4-24FD-4D69-932E-9B33A564DFAD}" uniqueName="4" name="duration" queryTableFieldId="4"/>
    <tableColumn id="5" xr3:uid="{AA5DF1E8-AED1-43D3-AB6A-24136BF02406}" uniqueName="5" name="Type" queryTableFieldId="5" dataDxfId="0">
      <calculatedColumnFormula>MID(results_initial_for_excel[[#This Row],[test]],1,1)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A453-41B9-45DD-AC94-63ECAAD7607D}">
  <dimension ref="A1:E97"/>
  <sheetViews>
    <sheetView workbookViewId="0">
      <selection sqref="A1:XFD1048576"/>
    </sheetView>
  </sheetViews>
  <sheetFormatPr defaultRowHeight="15" x14ac:dyDescent="0.25"/>
  <cols>
    <col min="1" max="1" width="35.28515625" bestFit="1" customWidth="1"/>
    <col min="2" max="2" width="14.7109375" bestFit="1" customWidth="1"/>
    <col min="3" max="3" width="6.7109375" bestFit="1" customWidth="1"/>
    <col min="4" max="4" width="12" bestFit="1" customWidth="1"/>
    <col min="5" max="5" width="2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37</v>
      </c>
    </row>
    <row r="2" spans="1:5" x14ac:dyDescent="0.25">
      <c r="A2" s="1" t="s">
        <v>4</v>
      </c>
      <c r="B2" s="1" t="s">
        <v>5</v>
      </c>
      <c r="C2" s="1" t="s">
        <v>6</v>
      </c>
      <c r="D2">
        <v>0.41786666666666666</v>
      </c>
      <c r="E2" s="1" t="str">
        <f>MID(results_initial_for_excel[[#This Row],[test]],1,1)</f>
        <v>c</v>
      </c>
    </row>
    <row r="3" spans="1:5" x14ac:dyDescent="0.25">
      <c r="A3" s="1" t="s">
        <v>4</v>
      </c>
      <c r="B3" s="1" t="s">
        <v>7</v>
      </c>
      <c r="C3" s="1" t="s">
        <v>6</v>
      </c>
      <c r="D3">
        <v>0.48053333333333331</v>
      </c>
      <c r="E3" s="1" t="str">
        <f>MID(results_initial_for_excel[[#This Row],[test]],1,1)</f>
        <v>c</v>
      </c>
    </row>
    <row r="4" spans="1:5" x14ac:dyDescent="0.25">
      <c r="A4" s="1" t="s">
        <v>4</v>
      </c>
      <c r="B4" s="1" t="s">
        <v>5</v>
      </c>
      <c r="C4" s="1" t="s">
        <v>8</v>
      </c>
      <c r="D4">
        <v>0.48573333333333335</v>
      </c>
      <c r="E4" s="1" t="str">
        <f>MID(results_initial_for_excel[[#This Row],[test]],1,1)</f>
        <v>c</v>
      </c>
    </row>
    <row r="5" spans="1:5" x14ac:dyDescent="0.25">
      <c r="A5" s="1" t="s">
        <v>4</v>
      </c>
      <c r="B5" s="1" t="s">
        <v>7</v>
      </c>
      <c r="C5" s="1" t="s">
        <v>8</v>
      </c>
      <c r="D5">
        <v>0.42363333333333331</v>
      </c>
      <c r="E5" s="1" t="str">
        <f>MID(results_initial_for_excel[[#This Row],[test]],1,1)</f>
        <v>c</v>
      </c>
    </row>
    <row r="6" spans="1:5" x14ac:dyDescent="0.25">
      <c r="A6" s="1" t="s">
        <v>9</v>
      </c>
      <c r="B6" s="1" t="s">
        <v>5</v>
      </c>
      <c r="C6" s="1" t="s">
        <v>6</v>
      </c>
      <c r="D6">
        <v>1.5981666666666667</v>
      </c>
      <c r="E6" s="1" t="str">
        <f>MID(results_initial_for_excel[[#This Row],[test]],1,1)</f>
        <v>c</v>
      </c>
    </row>
    <row r="7" spans="1:5" x14ac:dyDescent="0.25">
      <c r="A7" s="1" t="s">
        <v>9</v>
      </c>
      <c r="B7" s="1" t="s">
        <v>7</v>
      </c>
      <c r="C7" s="1" t="s">
        <v>6</v>
      </c>
      <c r="D7">
        <v>1.4883666666666666</v>
      </c>
      <c r="E7" s="1" t="str">
        <f>MID(results_initial_for_excel[[#This Row],[test]],1,1)</f>
        <v>c</v>
      </c>
    </row>
    <row r="8" spans="1:5" x14ac:dyDescent="0.25">
      <c r="A8" s="1" t="s">
        <v>9</v>
      </c>
      <c r="B8" s="1" t="s">
        <v>5</v>
      </c>
      <c r="C8" s="1" t="s">
        <v>8</v>
      </c>
      <c r="D8">
        <v>1.1660000000000001</v>
      </c>
      <c r="E8" s="1" t="str">
        <f>MID(results_initial_for_excel[[#This Row],[test]],1,1)</f>
        <v>c</v>
      </c>
    </row>
    <row r="9" spans="1:5" x14ac:dyDescent="0.25">
      <c r="A9" s="1" t="s">
        <v>9</v>
      </c>
      <c r="B9" s="1" t="s">
        <v>7</v>
      </c>
      <c r="C9" s="1" t="s">
        <v>8</v>
      </c>
      <c r="D9">
        <v>1.2242666666666666</v>
      </c>
      <c r="E9" s="1" t="str">
        <f>MID(results_initial_for_excel[[#This Row],[test]],1,1)</f>
        <v>c</v>
      </c>
    </row>
    <row r="10" spans="1:5" x14ac:dyDescent="0.25">
      <c r="A10" s="1" t="s">
        <v>10</v>
      </c>
      <c r="B10" s="1" t="s">
        <v>5</v>
      </c>
      <c r="C10" s="1" t="s">
        <v>6</v>
      </c>
      <c r="D10">
        <v>1.4073666666666667</v>
      </c>
      <c r="E10" s="1" t="str">
        <f>MID(results_initial_for_excel[[#This Row],[test]],1,1)</f>
        <v>c</v>
      </c>
    </row>
    <row r="11" spans="1:5" x14ac:dyDescent="0.25">
      <c r="A11" s="1" t="s">
        <v>10</v>
      </c>
      <c r="B11" s="1" t="s">
        <v>7</v>
      </c>
      <c r="C11" s="1" t="s">
        <v>6</v>
      </c>
      <c r="D11">
        <v>1.4239666666666666</v>
      </c>
      <c r="E11" s="1" t="str">
        <f>MID(results_initial_for_excel[[#This Row],[test]],1,1)</f>
        <v>c</v>
      </c>
    </row>
    <row r="12" spans="1:5" x14ac:dyDescent="0.25">
      <c r="A12" s="1" t="s">
        <v>10</v>
      </c>
      <c r="B12" s="1" t="s">
        <v>5</v>
      </c>
      <c r="C12" s="1" t="s">
        <v>8</v>
      </c>
      <c r="D12">
        <v>1.1547666666666665</v>
      </c>
      <c r="E12" s="1" t="str">
        <f>MID(results_initial_for_excel[[#This Row],[test]],1,1)</f>
        <v>c</v>
      </c>
    </row>
    <row r="13" spans="1:5" x14ac:dyDescent="0.25">
      <c r="A13" s="1" t="s">
        <v>10</v>
      </c>
      <c r="B13" s="1" t="s">
        <v>7</v>
      </c>
      <c r="C13" s="1" t="s">
        <v>8</v>
      </c>
      <c r="D13">
        <v>1.2363999999999999</v>
      </c>
      <c r="E13" s="1" t="str">
        <f>MID(results_initial_for_excel[[#This Row],[test]],1,1)</f>
        <v>c</v>
      </c>
    </row>
    <row r="14" spans="1:5" x14ac:dyDescent="0.25">
      <c r="A14" s="1" t="s">
        <v>11</v>
      </c>
      <c r="B14" s="1" t="s">
        <v>5</v>
      </c>
      <c r="C14" s="1" t="s">
        <v>6</v>
      </c>
      <c r="D14">
        <v>1.9303333333333335</v>
      </c>
      <c r="E14" s="1" t="str">
        <f>MID(results_initial_for_excel[[#This Row],[test]],1,1)</f>
        <v>c</v>
      </c>
    </row>
    <row r="15" spans="1:5" x14ac:dyDescent="0.25">
      <c r="A15" s="1" t="s">
        <v>11</v>
      </c>
      <c r="B15" s="1" t="s">
        <v>7</v>
      </c>
      <c r="C15" s="1" t="s">
        <v>6</v>
      </c>
      <c r="D15">
        <v>1.3546333333333334</v>
      </c>
      <c r="E15" s="1" t="str">
        <f>MID(results_initial_for_excel[[#This Row],[test]],1,1)</f>
        <v>c</v>
      </c>
    </row>
    <row r="16" spans="1:5" x14ac:dyDescent="0.25">
      <c r="A16" s="1" t="s">
        <v>11</v>
      </c>
      <c r="B16" s="1" t="s">
        <v>5</v>
      </c>
      <c r="C16" s="1" t="s">
        <v>8</v>
      </c>
      <c r="D16">
        <v>1.2198666666666667</v>
      </c>
      <c r="E16" s="1" t="str">
        <f>MID(results_initial_for_excel[[#This Row],[test]],1,1)</f>
        <v>c</v>
      </c>
    </row>
    <row r="17" spans="1:5" x14ac:dyDescent="0.25">
      <c r="A17" s="1" t="s">
        <v>11</v>
      </c>
      <c r="B17" s="1" t="s">
        <v>7</v>
      </c>
      <c r="C17" s="1" t="s">
        <v>8</v>
      </c>
      <c r="D17">
        <v>1.0324</v>
      </c>
      <c r="E17" s="1" t="str">
        <f>MID(results_initial_for_excel[[#This Row],[test]],1,1)</f>
        <v>c</v>
      </c>
    </row>
    <row r="18" spans="1:5" x14ac:dyDescent="0.25">
      <c r="A18" s="1" t="s">
        <v>12</v>
      </c>
      <c r="B18" s="1" t="s">
        <v>5</v>
      </c>
      <c r="C18" s="1" t="s">
        <v>6</v>
      </c>
      <c r="D18">
        <v>1.2431333333333334</v>
      </c>
      <c r="E18" s="1" t="str">
        <f>MID(results_initial_for_excel[[#This Row],[test]],1,1)</f>
        <v>c</v>
      </c>
    </row>
    <row r="19" spans="1:5" x14ac:dyDescent="0.25">
      <c r="A19" s="1" t="s">
        <v>12</v>
      </c>
      <c r="B19" s="1" t="s">
        <v>7</v>
      </c>
      <c r="C19" s="1" t="s">
        <v>6</v>
      </c>
      <c r="D19">
        <v>1.5415666666666665</v>
      </c>
      <c r="E19" s="1" t="str">
        <f>MID(results_initial_for_excel[[#This Row],[test]],1,1)</f>
        <v>c</v>
      </c>
    </row>
    <row r="20" spans="1:5" x14ac:dyDescent="0.25">
      <c r="A20" s="1" t="s">
        <v>12</v>
      </c>
      <c r="B20" s="1" t="s">
        <v>5</v>
      </c>
      <c r="C20" s="1" t="s">
        <v>8</v>
      </c>
      <c r="D20">
        <v>1.4188000000000001</v>
      </c>
      <c r="E20" s="1" t="str">
        <f>MID(results_initial_for_excel[[#This Row],[test]],1,1)</f>
        <v>c</v>
      </c>
    </row>
    <row r="21" spans="1:5" x14ac:dyDescent="0.25">
      <c r="A21" s="1" t="s">
        <v>12</v>
      </c>
      <c r="B21" s="1" t="s">
        <v>7</v>
      </c>
      <c r="C21" s="1" t="s">
        <v>8</v>
      </c>
      <c r="D21">
        <v>1.3036333333333332</v>
      </c>
      <c r="E21" s="1" t="str">
        <f>MID(results_initial_for_excel[[#This Row],[test]],1,1)</f>
        <v>c</v>
      </c>
    </row>
    <row r="22" spans="1:5" x14ac:dyDescent="0.25">
      <c r="A22" s="1" t="s">
        <v>13</v>
      </c>
      <c r="B22" s="1" t="s">
        <v>5</v>
      </c>
      <c r="C22" s="1" t="s">
        <v>6</v>
      </c>
      <c r="D22">
        <v>1.4562666666666668</v>
      </c>
      <c r="E22" s="1" t="str">
        <f>MID(results_initial_for_excel[[#This Row],[test]],1,1)</f>
        <v>c</v>
      </c>
    </row>
    <row r="23" spans="1:5" x14ac:dyDescent="0.25">
      <c r="A23" s="1" t="s">
        <v>13</v>
      </c>
      <c r="B23" s="1" t="s">
        <v>7</v>
      </c>
      <c r="C23" s="1" t="s">
        <v>6</v>
      </c>
      <c r="D23">
        <v>1.5687333333333333</v>
      </c>
      <c r="E23" s="1" t="str">
        <f>MID(results_initial_for_excel[[#This Row],[test]],1,1)</f>
        <v>c</v>
      </c>
    </row>
    <row r="24" spans="1:5" x14ac:dyDescent="0.25">
      <c r="A24" s="1" t="s">
        <v>13</v>
      </c>
      <c r="B24" s="1" t="s">
        <v>5</v>
      </c>
      <c r="C24" s="1" t="s">
        <v>8</v>
      </c>
      <c r="D24">
        <v>1.4550666666666665</v>
      </c>
      <c r="E24" s="1" t="str">
        <f>MID(results_initial_for_excel[[#This Row],[test]],1,1)</f>
        <v>c</v>
      </c>
    </row>
    <row r="25" spans="1:5" x14ac:dyDescent="0.25">
      <c r="A25" s="1" t="s">
        <v>13</v>
      </c>
      <c r="B25" s="1" t="s">
        <v>7</v>
      </c>
      <c r="C25" s="1" t="s">
        <v>8</v>
      </c>
      <c r="D25">
        <v>1.4252</v>
      </c>
      <c r="E25" s="1" t="str">
        <f>MID(results_initial_for_excel[[#This Row],[test]],1,1)</f>
        <v>c</v>
      </c>
    </row>
    <row r="26" spans="1:5" x14ac:dyDescent="0.25">
      <c r="A26" s="1" t="s">
        <v>14</v>
      </c>
      <c r="B26" s="1" t="s">
        <v>5</v>
      </c>
      <c r="C26" s="1" t="s">
        <v>6</v>
      </c>
      <c r="D26">
        <v>7.1217666666666668</v>
      </c>
      <c r="E26" s="1" t="str">
        <f>MID(results_initial_for_excel[[#This Row],[test]],1,1)</f>
        <v>d</v>
      </c>
    </row>
    <row r="27" spans="1:5" x14ac:dyDescent="0.25">
      <c r="A27" s="1" t="s">
        <v>14</v>
      </c>
      <c r="B27" s="1" t="s">
        <v>7</v>
      </c>
      <c r="C27" s="1" t="s">
        <v>6</v>
      </c>
      <c r="D27">
        <v>7.7948333333333331</v>
      </c>
      <c r="E27" s="1" t="str">
        <f>MID(results_initial_for_excel[[#This Row],[test]],1,1)</f>
        <v>d</v>
      </c>
    </row>
    <row r="28" spans="1:5" x14ac:dyDescent="0.25">
      <c r="A28" s="1" t="s">
        <v>14</v>
      </c>
      <c r="B28" s="1" t="s">
        <v>5</v>
      </c>
      <c r="C28" s="1" t="s">
        <v>8</v>
      </c>
      <c r="D28">
        <v>4.1151333333333335</v>
      </c>
      <c r="E28" s="1" t="str">
        <f>MID(results_initial_for_excel[[#This Row],[test]],1,1)</f>
        <v>d</v>
      </c>
    </row>
    <row r="29" spans="1:5" x14ac:dyDescent="0.25">
      <c r="A29" s="1" t="s">
        <v>14</v>
      </c>
      <c r="B29" s="1" t="s">
        <v>7</v>
      </c>
      <c r="C29" s="1" t="s">
        <v>8</v>
      </c>
      <c r="D29">
        <v>4.4475000000000007</v>
      </c>
      <c r="E29" s="1" t="str">
        <f>MID(results_initial_for_excel[[#This Row],[test]],1,1)</f>
        <v>d</v>
      </c>
    </row>
    <row r="30" spans="1:5" x14ac:dyDescent="0.25">
      <c r="A30" s="1" t="s">
        <v>15</v>
      </c>
      <c r="B30" s="1" t="s">
        <v>5</v>
      </c>
      <c r="C30" s="1" t="s">
        <v>6</v>
      </c>
      <c r="D30">
        <v>7.1107333333333331</v>
      </c>
      <c r="E30" s="1" t="str">
        <f>MID(results_initial_for_excel[[#This Row],[test]],1,1)</f>
        <v>d</v>
      </c>
    </row>
    <row r="31" spans="1:5" x14ac:dyDescent="0.25">
      <c r="A31" s="1" t="s">
        <v>15</v>
      </c>
      <c r="B31" s="1" t="s">
        <v>7</v>
      </c>
      <c r="C31" s="1" t="s">
        <v>6</v>
      </c>
      <c r="D31">
        <v>8.1739666666666668</v>
      </c>
      <c r="E31" s="1" t="str">
        <f>MID(results_initial_for_excel[[#This Row],[test]],1,1)</f>
        <v>d</v>
      </c>
    </row>
    <row r="32" spans="1:5" x14ac:dyDescent="0.25">
      <c r="A32" s="1" t="s">
        <v>15</v>
      </c>
      <c r="B32" s="1" t="s">
        <v>5</v>
      </c>
      <c r="C32" s="1" t="s">
        <v>8</v>
      </c>
      <c r="D32">
        <v>4.1395333333333335</v>
      </c>
      <c r="E32" s="1" t="str">
        <f>MID(results_initial_for_excel[[#This Row],[test]],1,1)</f>
        <v>d</v>
      </c>
    </row>
    <row r="33" spans="1:5" x14ac:dyDescent="0.25">
      <c r="A33" s="1" t="s">
        <v>15</v>
      </c>
      <c r="B33" s="1" t="s">
        <v>7</v>
      </c>
      <c r="C33" s="1" t="s">
        <v>8</v>
      </c>
      <c r="D33">
        <v>4.4614666666666665</v>
      </c>
      <c r="E33" s="1" t="str">
        <f>MID(results_initial_for_excel[[#This Row],[test]],1,1)</f>
        <v>d</v>
      </c>
    </row>
    <row r="34" spans="1:5" x14ac:dyDescent="0.25">
      <c r="A34" s="1" t="s">
        <v>16</v>
      </c>
      <c r="B34" s="1" t="s">
        <v>5</v>
      </c>
      <c r="C34" s="1" t="s">
        <v>6</v>
      </c>
      <c r="D34">
        <v>0.96883333333333344</v>
      </c>
      <c r="E34" s="1" t="str">
        <f>MID(results_initial_for_excel[[#This Row],[test]],1,1)</f>
        <v>d</v>
      </c>
    </row>
    <row r="35" spans="1:5" x14ac:dyDescent="0.25">
      <c r="A35" s="1" t="s">
        <v>16</v>
      </c>
      <c r="B35" s="1" t="s">
        <v>7</v>
      </c>
      <c r="C35" s="1" t="s">
        <v>6</v>
      </c>
      <c r="D35">
        <v>1.6767666666666667</v>
      </c>
      <c r="E35" s="1" t="str">
        <f>MID(results_initial_for_excel[[#This Row],[test]],1,1)</f>
        <v>d</v>
      </c>
    </row>
    <row r="36" spans="1:5" x14ac:dyDescent="0.25">
      <c r="A36" s="1" t="s">
        <v>16</v>
      </c>
      <c r="B36" s="1" t="s">
        <v>5</v>
      </c>
      <c r="C36" s="1" t="s">
        <v>8</v>
      </c>
      <c r="D36">
        <v>1.0357000000000001</v>
      </c>
      <c r="E36" s="1" t="str">
        <f>MID(results_initial_for_excel[[#This Row],[test]],1,1)</f>
        <v>d</v>
      </c>
    </row>
    <row r="37" spans="1:5" x14ac:dyDescent="0.25">
      <c r="A37" s="1" t="s">
        <v>16</v>
      </c>
      <c r="B37" s="1" t="s">
        <v>7</v>
      </c>
      <c r="C37" s="1" t="s">
        <v>8</v>
      </c>
      <c r="D37">
        <v>1.05</v>
      </c>
      <c r="E37" s="1" t="str">
        <f>MID(results_initial_for_excel[[#This Row],[test]],1,1)</f>
        <v>d</v>
      </c>
    </row>
    <row r="38" spans="1:5" x14ac:dyDescent="0.25">
      <c r="A38" s="1" t="s">
        <v>17</v>
      </c>
      <c r="B38" s="1" t="s">
        <v>5</v>
      </c>
      <c r="C38" s="1" t="s">
        <v>6</v>
      </c>
      <c r="D38">
        <v>14.578799999999999</v>
      </c>
      <c r="E38" s="1" t="str">
        <f>MID(results_initial_for_excel[[#This Row],[test]],1,1)</f>
        <v>d</v>
      </c>
    </row>
    <row r="39" spans="1:5" x14ac:dyDescent="0.25">
      <c r="A39" s="1" t="s">
        <v>17</v>
      </c>
      <c r="B39" s="1" t="s">
        <v>7</v>
      </c>
      <c r="C39" s="1" t="s">
        <v>6</v>
      </c>
      <c r="D39">
        <v>15.298766666666666</v>
      </c>
      <c r="E39" s="1" t="str">
        <f>MID(results_initial_for_excel[[#This Row],[test]],1,1)</f>
        <v>d</v>
      </c>
    </row>
    <row r="40" spans="1:5" x14ac:dyDescent="0.25">
      <c r="A40" s="1" t="s">
        <v>17</v>
      </c>
      <c r="B40" s="1" t="s">
        <v>5</v>
      </c>
      <c r="C40" s="1" t="s">
        <v>8</v>
      </c>
      <c r="D40">
        <v>7.8392000000000008</v>
      </c>
      <c r="E40" s="1" t="str">
        <f>MID(results_initial_for_excel[[#This Row],[test]],1,1)</f>
        <v>d</v>
      </c>
    </row>
    <row r="41" spans="1:5" x14ac:dyDescent="0.25">
      <c r="A41" s="1" t="s">
        <v>17</v>
      </c>
      <c r="B41" s="1" t="s">
        <v>7</v>
      </c>
      <c r="C41" s="1" t="s">
        <v>8</v>
      </c>
      <c r="D41">
        <v>8.1993333333333336</v>
      </c>
      <c r="E41" s="1" t="str">
        <f>MID(results_initial_for_excel[[#This Row],[test]],1,1)</f>
        <v>d</v>
      </c>
    </row>
    <row r="42" spans="1:5" x14ac:dyDescent="0.25">
      <c r="A42" s="1" t="s">
        <v>18</v>
      </c>
      <c r="B42" s="1" t="s">
        <v>5</v>
      </c>
      <c r="C42" s="1" t="s">
        <v>6</v>
      </c>
      <c r="D42">
        <v>81.349166666666676</v>
      </c>
      <c r="E42" s="1" t="str">
        <f>MID(results_initial_for_excel[[#This Row],[test]],1,1)</f>
        <v>d</v>
      </c>
    </row>
    <row r="43" spans="1:5" x14ac:dyDescent="0.25">
      <c r="A43" s="1" t="s">
        <v>18</v>
      </c>
      <c r="B43" s="1" t="s">
        <v>7</v>
      </c>
      <c r="C43" s="1" t="s">
        <v>6</v>
      </c>
      <c r="D43">
        <v>46.548533333333332</v>
      </c>
      <c r="E43" s="1" t="str">
        <f>MID(results_initial_for_excel[[#This Row],[test]],1,1)</f>
        <v>d</v>
      </c>
    </row>
    <row r="44" spans="1:5" x14ac:dyDescent="0.25">
      <c r="A44" s="1" t="s">
        <v>18</v>
      </c>
      <c r="B44" s="1" t="s">
        <v>5</v>
      </c>
      <c r="C44" s="1" t="s">
        <v>8</v>
      </c>
      <c r="D44">
        <v>48.411000000000001</v>
      </c>
      <c r="E44" s="1" t="str">
        <f>MID(results_initial_for_excel[[#This Row],[test]],1,1)</f>
        <v>d</v>
      </c>
    </row>
    <row r="45" spans="1:5" x14ac:dyDescent="0.25">
      <c r="A45" s="1" t="s">
        <v>18</v>
      </c>
      <c r="B45" s="1" t="s">
        <v>7</v>
      </c>
      <c r="C45" s="1" t="s">
        <v>8</v>
      </c>
      <c r="D45">
        <v>28.634866666666667</v>
      </c>
      <c r="E45" s="1" t="str">
        <f>MID(results_initial_for_excel[[#This Row],[test]],1,1)</f>
        <v>d</v>
      </c>
    </row>
    <row r="46" spans="1:5" x14ac:dyDescent="0.25">
      <c r="A46" s="1" t="s">
        <v>19</v>
      </c>
      <c r="B46" s="1" t="s">
        <v>5</v>
      </c>
      <c r="C46" s="1" t="s">
        <v>6</v>
      </c>
      <c r="D46">
        <v>231.74646666666669</v>
      </c>
      <c r="E46" s="1" t="str">
        <f>MID(results_initial_for_excel[[#This Row],[test]],1,1)</f>
        <v>d</v>
      </c>
    </row>
    <row r="47" spans="1:5" x14ac:dyDescent="0.25">
      <c r="A47" s="1" t="s">
        <v>19</v>
      </c>
      <c r="B47" s="1" t="s">
        <v>7</v>
      </c>
      <c r="C47" s="1" t="s">
        <v>6</v>
      </c>
      <c r="D47">
        <v>84.786333333333332</v>
      </c>
      <c r="E47" s="1" t="str">
        <f>MID(results_initial_for_excel[[#This Row],[test]],1,1)</f>
        <v>d</v>
      </c>
    </row>
    <row r="48" spans="1:5" x14ac:dyDescent="0.25">
      <c r="A48" s="1" t="s">
        <v>19</v>
      </c>
      <c r="B48" s="1" t="s">
        <v>5</v>
      </c>
      <c r="C48" s="1" t="s">
        <v>8</v>
      </c>
      <c r="D48">
        <v>80.109766666666658</v>
      </c>
      <c r="E48" s="1" t="str">
        <f>MID(results_initial_for_excel[[#This Row],[test]],1,1)</f>
        <v>d</v>
      </c>
    </row>
    <row r="49" spans="1:5" x14ac:dyDescent="0.25">
      <c r="A49" s="1" t="s">
        <v>19</v>
      </c>
      <c r="B49" s="1" t="s">
        <v>7</v>
      </c>
      <c r="C49" s="1" t="s">
        <v>8</v>
      </c>
      <c r="D49">
        <v>31.689499999999999</v>
      </c>
      <c r="E49" s="1" t="str">
        <f>MID(results_initial_for_excel[[#This Row],[test]],1,1)</f>
        <v>d</v>
      </c>
    </row>
    <row r="50" spans="1:5" x14ac:dyDescent="0.25">
      <c r="A50" s="1" t="s">
        <v>20</v>
      </c>
      <c r="B50" s="1" t="s">
        <v>5</v>
      </c>
      <c r="C50" s="1" t="s">
        <v>6</v>
      </c>
      <c r="D50">
        <v>0.45096666666666668</v>
      </c>
      <c r="E50" s="1" t="str">
        <f>MID(results_initial_for_excel[[#This Row],[test]],1,1)</f>
        <v>r</v>
      </c>
    </row>
    <row r="51" spans="1:5" x14ac:dyDescent="0.25">
      <c r="A51" s="1" t="s">
        <v>20</v>
      </c>
      <c r="B51" s="1" t="s">
        <v>7</v>
      </c>
      <c r="C51" s="1" t="s">
        <v>6</v>
      </c>
      <c r="D51">
        <v>0.44090000000000007</v>
      </c>
      <c r="E51" s="1" t="str">
        <f>MID(results_initial_for_excel[[#This Row],[test]],1,1)</f>
        <v>r</v>
      </c>
    </row>
    <row r="52" spans="1:5" x14ac:dyDescent="0.25">
      <c r="A52" s="1" t="s">
        <v>20</v>
      </c>
      <c r="B52" s="1" t="s">
        <v>5</v>
      </c>
      <c r="C52" s="1" t="s">
        <v>8</v>
      </c>
      <c r="D52">
        <v>0.47646666666666659</v>
      </c>
      <c r="E52" s="1" t="str">
        <f>MID(results_initial_for_excel[[#This Row],[test]],1,1)</f>
        <v>r</v>
      </c>
    </row>
    <row r="53" spans="1:5" x14ac:dyDescent="0.25">
      <c r="A53" s="1" t="s">
        <v>20</v>
      </c>
      <c r="B53" s="1" t="s">
        <v>7</v>
      </c>
      <c r="C53" s="1" t="s">
        <v>8</v>
      </c>
      <c r="D53">
        <v>0.58486666666666665</v>
      </c>
      <c r="E53" s="1" t="str">
        <f>MID(results_initial_for_excel[[#This Row],[test]],1,1)</f>
        <v>r</v>
      </c>
    </row>
    <row r="54" spans="1:5" x14ac:dyDescent="0.25">
      <c r="A54" s="1" t="s">
        <v>21</v>
      </c>
      <c r="B54" s="1" t="s">
        <v>5</v>
      </c>
      <c r="C54" s="1" t="s">
        <v>6</v>
      </c>
      <c r="D54">
        <v>92.277699999999996</v>
      </c>
      <c r="E54" s="1" t="str">
        <f>MID(results_initial_for_excel[[#This Row],[test]],1,1)</f>
        <v>r</v>
      </c>
    </row>
    <row r="55" spans="1:5" x14ac:dyDescent="0.25">
      <c r="A55" s="1" t="s">
        <v>21</v>
      </c>
      <c r="B55" s="1" t="s">
        <v>7</v>
      </c>
      <c r="C55" s="1" t="s">
        <v>6</v>
      </c>
      <c r="D55">
        <v>188.94143333333332</v>
      </c>
      <c r="E55" s="1" t="str">
        <f>MID(results_initial_for_excel[[#This Row],[test]],1,1)</f>
        <v>r</v>
      </c>
    </row>
    <row r="56" spans="1:5" x14ac:dyDescent="0.25">
      <c r="A56" s="1" t="s">
        <v>21</v>
      </c>
      <c r="B56" s="1" t="s">
        <v>5</v>
      </c>
      <c r="C56" s="1" t="s">
        <v>8</v>
      </c>
      <c r="D56">
        <v>43.185833333333335</v>
      </c>
      <c r="E56" s="1" t="str">
        <f>MID(results_initial_for_excel[[#This Row],[test]],1,1)</f>
        <v>r</v>
      </c>
    </row>
    <row r="57" spans="1:5" x14ac:dyDescent="0.25">
      <c r="A57" s="1" t="s">
        <v>21</v>
      </c>
      <c r="B57" s="1" t="s">
        <v>7</v>
      </c>
      <c r="C57" s="1" t="s">
        <v>8</v>
      </c>
      <c r="D57">
        <v>53.444466666666663</v>
      </c>
      <c r="E57" s="1" t="str">
        <f>MID(results_initial_for_excel[[#This Row],[test]],1,1)</f>
        <v>r</v>
      </c>
    </row>
    <row r="58" spans="1:5" x14ac:dyDescent="0.25">
      <c r="A58" s="1" t="s">
        <v>22</v>
      </c>
      <c r="B58" s="1" t="s">
        <v>5</v>
      </c>
      <c r="C58" s="1" t="s">
        <v>6</v>
      </c>
      <c r="D58">
        <v>6.2921333333333331</v>
      </c>
      <c r="E58" s="1" t="str">
        <f>MID(results_initial_for_excel[[#This Row],[test]],1,1)</f>
        <v>r</v>
      </c>
    </row>
    <row r="59" spans="1:5" x14ac:dyDescent="0.25">
      <c r="A59" s="1" t="s">
        <v>22</v>
      </c>
      <c r="B59" s="1" t="s">
        <v>7</v>
      </c>
      <c r="C59" s="1" t="s">
        <v>6</v>
      </c>
      <c r="D59">
        <v>13.3544</v>
      </c>
      <c r="E59" s="1" t="str">
        <f>MID(results_initial_for_excel[[#This Row],[test]],1,1)</f>
        <v>r</v>
      </c>
    </row>
    <row r="60" spans="1:5" x14ac:dyDescent="0.25">
      <c r="A60" s="1" t="s">
        <v>22</v>
      </c>
      <c r="B60" s="1" t="s">
        <v>5</v>
      </c>
      <c r="C60" s="1" t="s">
        <v>8</v>
      </c>
      <c r="D60">
        <v>1.6887000000000001</v>
      </c>
      <c r="E60" s="1" t="str">
        <f>MID(results_initial_for_excel[[#This Row],[test]],1,1)</f>
        <v>r</v>
      </c>
    </row>
    <row r="61" spans="1:5" x14ac:dyDescent="0.25">
      <c r="A61" s="1" t="s">
        <v>22</v>
      </c>
      <c r="B61" s="1" t="s">
        <v>7</v>
      </c>
      <c r="C61" s="1" t="s">
        <v>8</v>
      </c>
      <c r="D61">
        <v>2.5783666666666663</v>
      </c>
      <c r="E61" s="1" t="str">
        <f>MID(results_initial_for_excel[[#This Row],[test]],1,1)</f>
        <v>r</v>
      </c>
    </row>
    <row r="62" spans="1:5" x14ac:dyDescent="0.25">
      <c r="A62" s="1" t="s">
        <v>23</v>
      </c>
      <c r="B62" s="1" t="s">
        <v>5</v>
      </c>
      <c r="C62" s="1" t="s">
        <v>6</v>
      </c>
      <c r="D62">
        <v>8.974400000000001</v>
      </c>
      <c r="E62" s="1" t="str">
        <f>MID(results_initial_for_excel[[#This Row],[test]],1,1)</f>
        <v>r</v>
      </c>
    </row>
    <row r="63" spans="1:5" x14ac:dyDescent="0.25">
      <c r="A63" s="1" t="s">
        <v>23</v>
      </c>
      <c r="B63" s="1" t="s">
        <v>7</v>
      </c>
      <c r="C63" s="1" t="s">
        <v>6</v>
      </c>
      <c r="D63">
        <v>8.8669333333333338</v>
      </c>
      <c r="E63" s="1" t="str">
        <f>MID(results_initial_for_excel[[#This Row],[test]],1,1)</f>
        <v>r</v>
      </c>
    </row>
    <row r="64" spans="1:5" x14ac:dyDescent="0.25">
      <c r="A64" s="1" t="s">
        <v>23</v>
      </c>
      <c r="B64" s="1" t="s">
        <v>5</v>
      </c>
      <c r="C64" s="1" t="s">
        <v>8</v>
      </c>
      <c r="D64">
        <v>4.7507333333333337</v>
      </c>
      <c r="E64" s="1" t="str">
        <f>MID(results_initial_for_excel[[#This Row],[test]],1,1)</f>
        <v>r</v>
      </c>
    </row>
    <row r="65" spans="1:5" x14ac:dyDescent="0.25">
      <c r="A65" s="1" t="s">
        <v>23</v>
      </c>
      <c r="B65" s="1" t="s">
        <v>7</v>
      </c>
      <c r="C65" s="1" t="s">
        <v>8</v>
      </c>
      <c r="D65">
        <v>6.2978333333333341</v>
      </c>
      <c r="E65" s="1" t="str">
        <f>MID(results_initial_for_excel[[#This Row],[test]],1,1)</f>
        <v>r</v>
      </c>
    </row>
    <row r="66" spans="1:5" x14ac:dyDescent="0.25">
      <c r="A66" s="1" t="s">
        <v>24</v>
      </c>
      <c r="B66" s="1" t="s">
        <v>5</v>
      </c>
      <c r="C66" s="1" t="s">
        <v>6</v>
      </c>
      <c r="D66">
        <v>0.6643</v>
      </c>
      <c r="E66" s="1" t="str">
        <f>MID(results_initial_for_excel[[#This Row],[test]],1,1)</f>
        <v>r</v>
      </c>
    </row>
    <row r="67" spans="1:5" x14ac:dyDescent="0.25">
      <c r="A67" s="1" t="s">
        <v>24</v>
      </c>
      <c r="B67" s="1" t="s">
        <v>7</v>
      </c>
      <c r="C67" s="1" t="s">
        <v>6</v>
      </c>
      <c r="D67">
        <v>0.61496666666666666</v>
      </c>
      <c r="E67" s="1" t="str">
        <f>MID(results_initial_for_excel[[#This Row],[test]],1,1)</f>
        <v>r</v>
      </c>
    </row>
    <row r="68" spans="1:5" x14ac:dyDescent="0.25">
      <c r="A68" s="1" t="s">
        <v>24</v>
      </c>
      <c r="B68" s="1" t="s">
        <v>5</v>
      </c>
      <c r="C68" s="1" t="s">
        <v>8</v>
      </c>
      <c r="D68">
        <v>0.62270000000000003</v>
      </c>
      <c r="E68" s="1" t="str">
        <f>MID(results_initial_for_excel[[#This Row],[test]],1,1)</f>
        <v>r</v>
      </c>
    </row>
    <row r="69" spans="1:5" x14ac:dyDescent="0.25">
      <c r="A69" s="1" t="s">
        <v>24</v>
      </c>
      <c r="B69" s="1" t="s">
        <v>7</v>
      </c>
      <c r="C69" s="1" t="s">
        <v>8</v>
      </c>
      <c r="D69">
        <v>0.95420000000000005</v>
      </c>
      <c r="E69" s="1" t="str">
        <f>MID(results_initial_for_excel[[#This Row],[test]],1,1)</f>
        <v>r</v>
      </c>
    </row>
    <row r="70" spans="1:5" x14ac:dyDescent="0.25">
      <c r="A70" s="1" t="s">
        <v>25</v>
      </c>
      <c r="B70" s="1" t="s">
        <v>5</v>
      </c>
      <c r="C70" s="1" t="s">
        <v>6</v>
      </c>
      <c r="D70">
        <v>355.65706666666665</v>
      </c>
      <c r="E70" s="1" t="str">
        <f>MID(results_initial_for_excel[[#This Row],[test]],1,1)</f>
        <v>r</v>
      </c>
    </row>
    <row r="71" spans="1:5" x14ac:dyDescent="0.25">
      <c r="A71" s="1" t="s">
        <v>25</v>
      </c>
      <c r="B71" s="1" t="s">
        <v>7</v>
      </c>
      <c r="C71" s="1" t="s">
        <v>6</v>
      </c>
      <c r="D71">
        <v>264.95806666666664</v>
      </c>
      <c r="E71" s="1" t="str">
        <f>MID(results_initial_for_excel[[#This Row],[test]],1,1)</f>
        <v>r</v>
      </c>
    </row>
    <row r="72" spans="1:5" x14ac:dyDescent="0.25">
      <c r="A72" s="1" t="s">
        <v>25</v>
      </c>
      <c r="B72" s="1" t="s">
        <v>5</v>
      </c>
      <c r="C72" s="1" t="s">
        <v>8</v>
      </c>
      <c r="D72">
        <v>172.07216666666667</v>
      </c>
      <c r="E72" s="1" t="str">
        <f>MID(results_initial_for_excel[[#This Row],[test]],1,1)</f>
        <v>r</v>
      </c>
    </row>
    <row r="73" spans="1:5" x14ac:dyDescent="0.25">
      <c r="A73" s="1" t="s">
        <v>25</v>
      </c>
      <c r="B73" s="1" t="s">
        <v>7</v>
      </c>
      <c r="C73" s="1" t="s">
        <v>8</v>
      </c>
      <c r="D73">
        <v>152.09906666666669</v>
      </c>
      <c r="E73" s="1" t="str">
        <f>MID(results_initial_for_excel[[#This Row],[test]],1,1)</f>
        <v>r</v>
      </c>
    </row>
    <row r="74" spans="1:5" x14ac:dyDescent="0.25">
      <c r="A74" s="1" t="s">
        <v>26</v>
      </c>
      <c r="B74" s="1" t="s">
        <v>5</v>
      </c>
      <c r="C74" s="1" t="s">
        <v>6</v>
      </c>
      <c r="D74">
        <v>1.1049666666666667</v>
      </c>
      <c r="E74" s="1" t="str">
        <f>MID(results_initial_for_excel[[#This Row],[test]],1,1)</f>
        <v>u</v>
      </c>
    </row>
    <row r="75" spans="1:5" x14ac:dyDescent="0.25">
      <c r="A75" s="1" t="s">
        <v>26</v>
      </c>
      <c r="B75" s="1" t="s">
        <v>7</v>
      </c>
      <c r="C75" s="1" t="s">
        <v>6</v>
      </c>
      <c r="D75">
        <v>1.2464000000000002</v>
      </c>
      <c r="E75" s="1" t="str">
        <f>MID(results_initial_for_excel[[#This Row],[test]],1,1)</f>
        <v>u</v>
      </c>
    </row>
    <row r="76" spans="1:5" x14ac:dyDescent="0.25">
      <c r="A76" s="1" t="s">
        <v>26</v>
      </c>
      <c r="B76" s="1" t="s">
        <v>5</v>
      </c>
      <c r="C76" s="1" t="s">
        <v>8</v>
      </c>
      <c r="D76">
        <v>1.008</v>
      </c>
      <c r="E76" s="1" t="str">
        <f>MID(results_initial_for_excel[[#This Row],[test]],1,1)</f>
        <v>u</v>
      </c>
    </row>
    <row r="77" spans="1:5" x14ac:dyDescent="0.25">
      <c r="A77" s="1" t="s">
        <v>26</v>
      </c>
      <c r="B77" s="1" t="s">
        <v>7</v>
      </c>
      <c r="C77" s="1" t="s">
        <v>8</v>
      </c>
      <c r="D77">
        <v>1.0193333333333332</v>
      </c>
      <c r="E77" s="1" t="str">
        <f>MID(results_initial_for_excel[[#This Row],[test]],1,1)</f>
        <v>u</v>
      </c>
    </row>
    <row r="78" spans="1:5" x14ac:dyDescent="0.25">
      <c r="A78" s="1" t="s">
        <v>27</v>
      </c>
      <c r="B78" s="1" t="s">
        <v>5</v>
      </c>
      <c r="C78" s="1" t="s">
        <v>6</v>
      </c>
      <c r="D78">
        <v>10.603833333333332</v>
      </c>
      <c r="E78" s="1" t="str">
        <f>MID(results_initial_for_excel[[#This Row],[test]],1,1)</f>
        <v>u</v>
      </c>
    </row>
    <row r="79" spans="1:5" x14ac:dyDescent="0.25">
      <c r="A79" s="1" t="s">
        <v>27</v>
      </c>
      <c r="B79" s="1" t="s">
        <v>7</v>
      </c>
      <c r="C79" s="1" t="s">
        <v>6</v>
      </c>
      <c r="D79">
        <v>10.863500000000002</v>
      </c>
      <c r="E79" s="1" t="str">
        <f>MID(results_initial_for_excel[[#This Row],[test]],1,1)</f>
        <v>u</v>
      </c>
    </row>
    <row r="80" spans="1:5" x14ac:dyDescent="0.25">
      <c r="A80" s="1" t="s">
        <v>27</v>
      </c>
      <c r="B80" s="1" t="s">
        <v>5</v>
      </c>
      <c r="C80" s="1" t="s">
        <v>8</v>
      </c>
      <c r="D80">
        <v>6.1010666666666671</v>
      </c>
      <c r="E80" s="1" t="str">
        <f>MID(results_initial_for_excel[[#This Row],[test]],1,1)</f>
        <v>u</v>
      </c>
    </row>
    <row r="81" spans="1:5" x14ac:dyDescent="0.25">
      <c r="A81" s="1" t="s">
        <v>27</v>
      </c>
      <c r="B81" s="1" t="s">
        <v>7</v>
      </c>
      <c r="C81" s="1" t="s">
        <v>8</v>
      </c>
      <c r="D81">
        <v>6.5704333333333338</v>
      </c>
      <c r="E81" s="1" t="str">
        <f>MID(results_initial_for_excel[[#This Row],[test]],1,1)</f>
        <v>u</v>
      </c>
    </row>
    <row r="82" spans="1:5" x14ac:dyDescent="0.25">
      <c r="A82" s="1" t="s">
        <v>28</v>
      </c>
      <c r="B82" s="1" t="s">
        <v>5</v>
      </c>
      <c r="C82" s="1" t="s">
        <v>6</v>
      </c>
      <c r="D82">
        <v>17.564433333333334</v>
      </c>
      <c r="E82" s="1" t="str">
        <f>MID(results_initial_for_excel[[#This Row],[test]],1,1)</f>
        <v>u</v>
      </c>
    </row>
    <row r="83" spans="1:5" x14ac:dyDescent="0.25">
      <c r="A83" s="1" t="s">
        <v>28</v>
      </c>
      <c r="B83" s="1" t="s">
        <v>7</v>
      </c>
      <c r="C83" s="1" t="s">
        <v>6</v>
      </c>
      <c r="D83">
        <v>19.158966666666668</v>
      </c>
      <c r="E83" s="1" t="str">
        <f>MID(results_initial_for_excel[[#This Row],[test]],1,1)</f>
        <v>u</v>
      </c>
    </row>
    <row r="84" spans="1:5" x14ac:dyDescent="0.25">
      <c r="A84" s="1" t="s">
        <v>28</v>
      </c>
      <c r="B84" s="1" t="s">
        <v>5</v>
      </c>
      <c r="C84" s="1" t="s">
        <v>8</v>
      </c>
      <c r="D84">
        <v>10.467766666666668</v>
      </c>
      <c r="E84" s="1" t="str">
        <f>MID(results_initial_for_excel[[#This Row],[test]],1,1)</f>
        <v>u</v>
      </c>
    </row>
    <row r="85" spans="1:5" x14ac:dyDescent="0.25">
      <c r="A85" s="1" t="s">
        <v>28</v>
      </c>
      <c r="B85" s="1" t="s">
        <v>7</v>
      </c>
      <c r="C85" s="1" t="s">
        <v>8</v>
      </c>
      <c r="D85">
        <v>10.604699999999999</v>
      </c>
      <c r="E85" s="1" t="str">
        <f>MID(results_initial_for_excel[[#This Row],[test]],1,1)</f>
        <v>u</v>
      </c>
    </row>
    <row r="86" spans="1:5" x14ac:dyDescent="0.25">
      <c r="A86" s="1" t="s">
        <v>29</v>
      </c>
      <c r="B86" s="1" t="s">
        <v>5</v>
      </c>
      <c r="C86" s="1" t="s">
        <v>6</v>
      </c>
      <c r="D86">
        <v>2.5685666666666669</v>
      </c>
      <c r="E86" s="1" t="str">
        <f>MID(results_initial_for_excel[[#This Row],[test]],1,1)</f>
        <v>u</v>
      </c>
    </row>
    <row r="87" spans="1:5" x14ac:dyDescent="0.25">
      <c r="A87" s="1" t="s">
        <v>29</v>
      </c>
      <c r="B87" s="1" t="s">
        <v>7</v>
      </c>
      <c r="C87" s="1" t="s">
        <v>6</v>
      </c>
      <c r="D87">
        <v>1.2162666666666668</v>
      </c>
      <c r="E87" s="1" t="str">
        <f>MID(results_initial_for_excel[[#This Row],[test]],1,1)</f>
        <v>u</v>
      </c>
    </row>
    <row r="88" spans="1:5" x14ac:dyDescent="0.25">
      <c r="A88" s="1" t="s">
        <v>29</v>
      </c>
      <c r="B88" s="1" t="s">
        <v>5</v>
      </c>
      <c r="C88" s="1" t="s">
        <v>8</v>
      </c>
      <c r="D88">
        <v>1.1653666666666667</v>
      </c>
      <c r="E88" s="1" t="str">
        <f>MID(results_initial_for_excel[[#This Row],[test]],1,1)</f>
        <v>u</v>
      </c>
    </row>
    <row r="89" spans="1:5" x14ac:dyDescent="0.25">
      <c r="A89" s="1" t="s">
        <v>29</v>
      </c>
      <c r="B89" s="1" t="s">
        <v>7</v>
      </c>
      <c r="C89" s="1" t="s">
        <v>8</v>
      </c>
      <c r="D89">
        <v>1.0702</v>
      </c>
      <c r="E89" s="1" t="str">
        <f>MID(results_initial_for_excel[[#This Row],[test]],1,1)</f>
        <v>u</v>
      </c>
    </row>
    <row r="90" spans="1:5" x14ac:dyDescent="0.25">
      <c r="A90" s="1" t="s">
        <v>30</v>
      </c>
      <c r="B90" s="1" t="s">
        <v>5</v>
      </c>
      <c r="C90" s="1" t="s">
        <v>6</v>
      </c>
      <c r="D90">
        <v>1.2288333333333334</v>
      </c>
      <c r="E90" s="1" t="str">
        <f>MID(results_initial_for_excel[[#This Row],[test]],1,1)</f>
        <v>u</v>
      </c>
    </row>
    <row r="91" spans="1:5" x14ac:dyDescent="0.25">
      <c r="A91" s="1" t="s">
        <v>30</v>
      </c>
      <c r="B91" s="1" t="s">
        <v>7</v>
      </c>
      <c r="C91" s="1" t="s">
        <v>6</v>
      </c>
      <c r="D91">
        <v>1.2048666666666668</v>
      </c>
      <c r="E91" s="1" t="str">
        <f>MID(results_initial_for_excel[[#This Row],[test]],1,1)</f>
        <v>u</v>
      </c>
    </row>
    <row r="92" spans="1:5" x14ac:dyDescent="0.25">
      <c r="A92" s="1" t="s">
        <v>30</v>
      </c>
      <c r="B92" s="1" t="s">
        <v>5</v>
      </c>
      <c r="C92" s="1" t="s">
        <v>8</v>
      </c>
      <c r="D92">
        <v>1.2641666666666667</v>
      </c>
      <c r="E92" s="1" t="str">
        <f>MID(results_initial_for_excel[[#This Row],[test]],1,1)</f>
        <v>u</v>
      </c>
    </row>
    <row r="93" spans="1:5" x14ac:dyDescent="0.25">
      <c r="A93" s="1" t="s">
        <v>30</v>
      </c>
      <c r="B93" s="1" t="s">
        <v>7</v>
      </c>
      <c r="C93" s="1" t="s">
        <v>8</v>
      </c>
      <c r="D93">
        <v>1.0728333333333335</v>
      </c>
      <c r="E93" s="1" t="str">
        <f>MID(results_initial_for_excel[[#This Row],[test]],1,1)</f>
        <v>u</v>
      </c>
    </row>
    <row r="94" spans="1:5" x14ac:dyDescent="0.25">
      <c r="A94" s="1" t="s">
        <v>31</v>
      </c>
      <c r="B94" s="1" t="s">
        <v>5</v>
      </c>
      <c r="C94" s="1" t="s">
        <v>6</v>
      </c>
      <c r="D94">
        <v>0.46626666666666666</v>
      </c>
      <c r="E94" s="1" t="str">
        <f>MID(results_initial_for_excel[[#This Row],[test]],1,1)</f>
        <v>u</v>
      </c>
    </row>
    <row r="95" spans="1:5" x14ac:dyDescent="0.25">
      <c r="A95" s="1" t="s">
        <v>31</v>
      </c>
      <c r="B95" s="1" t="s">
        <v>7</v>
      </c>
      <c r="C95" s="1" t="s">
        <v>6</v>
      </c>
      <c r="D95">
        <v>0.45293333333333335</v>
      </c>
      <c r="E95" s="1" t="str">
        <f>MID(results_initial_for_excel[[#This Row],[test]],1,1)</f>
        <v>u</v>
      </c>
    </row>
    <row r="96" spans="1:5" x14ac:dyDescent="0.25">
      <c r="A96" s="1" t="s">
        <v>31</v>
      </c>
      <c r="B96" s="1" t="s">
        <v>5</v>
      </c>
      <c r="C96" s="1" t="s">
        <v>8</v>
      </c>
      <c r="D96">
        <v>0.59646666666666659</v>
      </c>
      <c r="E96" s="1" t="str">
        <f>MID(results_initial_for_excel[[#This Row],[test]],1,1)</f>
        <v>u</v>
      </c>
    </row>
    <row r="97" spans="1:5" x14ac:dyDescent="0.25">
      <c r="A97" s="1" t="s">
        <v>31</v>
      </c>
      <c r="B97" s="1" t="s">
        <v>7</v>
      </c>
      <c r="C97" s="1" t="s">
        <v>8</v>
      </c>
      <c r="D97">
        <v>0.44066666666666671</v>
      </c>
      <c r="E97" s="1" t="str">
        <f>MID(results_initial_for_excel[[#This Row],[test]],1,1)</f>
        <v>u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9FDE-950E-42D1-ACA8-204E368A3BFC}">
  <dimension ref="A3:E10"/>
  <sheetViews>
    <sheetView workbookViewId="0">
      <selection activeCell="A4" sqref="A4:D8"/>
    </sheetView>
  </sheetViews>
  <sheetFormatPr defaultRowHeight="15" x14ac:dyDescent="0.25"/>
  <cols>
    <col min="1" max="1" width="17.28515625" bestFit="1" customWidth="1"/>
    <col min="2" max="2" width="17" bestFit="1" customWidth="1"/>
    <col min="3" max="3" width="14.7109375" bestFit="1" customWidth="1"/>
    <col min="4" max="4" width="7.28515625" bestFit="1" customWidth="1"/>
    <col min="5" max="5" width="14.5703125" bestFit="1" customWidth="1"/>
    <col min="6" max="6" width="12" bestFit="1" customWidth="1"/>
    <col min="7" max="7" width="20.28515625" bestFit="1" customWidth="1"/>
    <col min="9" max="9" width="12.7109375" bestFit="1" customWidth="1"/>
    <col min="10" max="10" width="14.5703125" bestFit="1" customWidth="1"/>
  </cols>
  <sheetData>
    <row r="3" spans="1:5" x14ac:dyDescent="0.25">
      <c r="A3" s="5" t="s">
        <v>36</v>
      </c>
      <c r="B3" s="5" t="s">
        <v>32</v>
      </c>
      <c r="C3" s="3"/>
      <c r="D3" s="3"/>
      <c r="E3" s="4"/>
    </row>
    <row r="4" spans="1:5" x14ac:dyDescent="0.25">
      <c r="A4" s="5" t="s">
        <v>35</v>
      </c>
      <c r="B4" s="2" t="s">
        <v>5</v>
      </c>
      <c r="C4" s="6" t="s">
        <v>7</v>
      </c>
      <c r="D4" s="6" t="s">
        <v>33</v>
      </c>
      <c r="E4" s="7" t="s">
        <v>34</v>
      </c>
    </row>
    <row r="5" spans="1:5" x14ac:dyDescent="0.25">
      <c r="A5" s="8" t="s">
        <v>38</v>
      </c>
      <c r="B5" s="14">
        <v>1.2461138888888887</v>
      </c>
      <c r="C5" s="15">
        <v>1.2086111111111111</v>
      </c>
      <c r="D5" s="15"/>
      <c r="E5" s="16">
        <v>1.2273624999999999</v>
      </c>
    </row>
    <row r="6" spans="1:5" x14ac:dyDescent="0.25">
      <c r="A6" s="9" t="s">
        <v>39</v>
      </c>
      <c r="B6" s="17">
        <v>40.71050833333333</v>
      </c>
      <c r="C6" s="18">
        <v>20.230155555555555</v>
      </c>
      <c r="D6" s="18"/>
      <c r="E6" s="19">
        <v>30.470331944444442</v>
      </c>
    </row>
    <row r="7" spans="1:5" x14ac:dyDescent="0.25">
      <c r="A7" s="9" t="s">
        <v>40</v>
      </c>
      <c r="B7" s="17">
        <v>57.259430555555554</v>
      </c>
      <c r="C7" s="18">
        <v>57.761291666666672</v>
      </c>
      <c r="D7" s="18"/>
      <c r="E7" s="19">
        <v>57.510361111111109</v>
      </c>
    </row>
    <row r="8" spans="1:5" x14ac:dyDescent="0.25">
      <c r="A8" s="9" t="s">
        <v>41</v>
      </c>
      <c r="B8" s="17">
        <v>4.5116444444444452</v>
      </c>
      <c r="C8" s="18">
        <v>4.5767583333333341</v>
      </c>
      <c r="D8" s="18"/>
      <c r="E8" s="19">
        <v>4.5442013888888892</v>
      </c>
    </row>
    <row r="9" spans="1:5" x14ac:dyDescent="0.25">
      <c r="A9" s="9" t="s">
        <v>33</v>
      </c>
      <c r="B9" s="17"/>
      <c r="C9" s="18"/>
      <c r="D9" s="18"/>
      <c r="E9" s="19"/>
    </row>
    <row r="10" spans="1:5" x14ac:dyDescent="0.25">
      <c r="A10" s="10" t="s">
        <v>34</v>
      </c>
      <c r="B10" s="11">
        <v>25.931924305555551</v>
      </c>
      <c r="C10" s="12">
        <v>20.944204166666662</v>
      </c>
      <c r="D10" s="12"/>
      <c r="E10" s="13">
        <v>23.438064236111114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C794-3B32-4745-AD79-0CCE90A1B189}">
  <dimension ref="B1:E6"/>
  <sheetViews>
    <sheetView tabSelected="1" workbookViewId="0">
      <selection activeCell="E3" sqref="E3"/>
    </sheetView>
  </sheetViews>
  <sheetFormatPr defaultRowHeight="15" x14ac:dyDescent="0.25"/>
  <cols>
    <col min="2" max="2" width="21.42578125" customWidth="1"/>
    <col min="3" max="3" width="13.85546875" bestFit="1" customWidth="1"/>
    <col min="4" max="4" width="14.7109375" bestFit="1" customWidth="1"/>
  </cols>
  <sheetData>
    <row r="1" spans="2:5" x14ac:dyDescent="0.25">
      <c r="B1" s="20" t="s">
        <v>42</v>
      </c>
      <c r="C1" s="20"/>
      <c r="D1" s="20"/>
      <c r="E1" s="20"/>
    </row>
    <row r="2" spans="2:5" x14ac:dyDescent="0.25">
      <c r="B2" s="2" t="s">
        <v>43</v>
      </c>
      <c r="C2" s="2" t="s">
        <v>5</v>
      </c>
      <c r="D2" s="6" t="s">
        <v>7</v>
      </c>
      <c r="E2" s="6"/>
    </row>
    <row r="3" spans="2:5" x14ac:dyDescent="0.25">
      <c r="B3" s="8" t="s">
        <v>44</v>
      </c>
      <c r="C3" s="14">
        <v>1.2461138888888887</v>
      </c>
      <c r="D3" s="15">
        <v>1.2086111111111111</v>
      </c>
      <c r="E3" s="15"/>
    </row>
    <row r="4" spans="2:5" x14ac:dyDescent="0.25">
      <c r="B4" s="9" t="s">
        <v>45</v>
      </c>
      <c r="C4" s="17">
        <v>40.71050833333333</v>
      </c>
      <c r="D4" s="18">
        <v>20.230155555555555</v>
      </c>
      <c r="E4" s="18"/>
    </row>
    <row r="5" spans="2:5" x14ac:dyDescent="0.25">
      <c r="B5" s="9" t="s">
        <v>46</v>
      </c>
      <c r="C5" s="17">
        <v>57.259430555555554</v>
      </c>
      <c r="D5" s="18">
        <v>57.761291666666672</v>
      </c>
      <c r="E5" s="18"/>
    </row>
    <row r="6" spans="2:5" x14ac:dyDescent="0.25">
      <c r="B6" s="9" t="s">
        <v>47</v>
      </c>
      <c r="C6" s="17">
        <v>4.5116444444444452</v>
      </c>
      <c r="D6" s="18">
        <v>4.5767583333333341</v>
      </c>
      <c r="E6" s="18"/>
    </row>
  </sheetData>
  <mergeCells count="1">
    <mergeCell ref="B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A4CE0-D80F-4EFC-A758-B4811C4D7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main data source</vt:lpstr>
      <vt:lpstr>pivot table</vt:lpstr>
      <vt:lpstr>postgres-compare-by-operation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mariusz2727@vp.pl</dc:creator>
  <cp:lastModifiedBy>mariusz2727@vp.pl</cp:lastModifiedBy>
  <dcterms:created xsi:type="dcterms:W3CDTF">2026-03-30T10:56:25Z</dcterms:created>
  <dcterms:modified xsi:type="dcterms:W3CDTF">2026-03-30T11:24:50Z</dcterms:modified>
</cp:coreProperties>
</file>